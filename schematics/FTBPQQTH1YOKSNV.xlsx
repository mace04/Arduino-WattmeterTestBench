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9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138\AC\Temp\"/>
    </mc:Choice>
  </mc:AlternateContent>
  <xr:revisionPtr revIDLastSave="0" documentId="8_{37E01691-7861-45AD-AA6F-7267C89356D3}" xr6:coauthVersionLast="47" xr6:coauthVersionMax="47" xr10:uidLastSave="{00000000-0000-0000-0000-000000000000}"/>
  <bookViews>
    <workbookView xWindow="-120" yWindow="-120" windowWidth="15600" windowHeight="11760" tabRatio="224" firstSheet="1" xr2:uid="{00000000-000D-0000-FFFF-FFFF00000000}"/>
  </bookViews>
  <sheets>
    <sheet name="amp hour calculations" sheetId="1" r:id="rId1"/>
    <sheet name="Resistor Divider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A2" i="1"/>
  <c r="A3" i="1"/>
  <c r="A4" i="1"/>
  <c r="A13" i="1"/>
  <c r="A14" i="1"/>
  <c r="E14" i="1"/>
  <c r="G14" i="1"/>
  <c r="A15" i="1"/>
  <c r="E15" i="1"/>
  <c r="A8" i="2"/>
  <c r="C8" i="2"/>
  <c r="E8" i="2"/>
  <c r="C11" i="2"/>
  <c r="E11" i="2"/>
  <c r="I14" i="2"/>
  <c r="I15" i="2"/>
  <c r="I16" i="2"/>
  <c r="I17" i="2"/>
  <c r="I21" i="2"/>
  <c r="I22" i="2"/>
  <c r="I23" i="2"/>
  <c r="I24" i="2"/>
</calcChain>
</file>

<file path=xl/sharedStrings.xml><?xml version="1.0" encoding="utf-8"?>
<sst xmlns="http://schemas.openxmlformats.org/spreadsheetml/2006/main" count="43" uniqueCount="27">
  <si>
    <t>millis</t>
  </si>
  <si>
    <t>hours</t>
  </si>
  <si>
    <t>seconds</t>
  </si>
  <si>
    <t>minutes</t>
  </si>
  <si>
    <t>volts</t>
  </si>
  <si>
    <t>total of samples</t>
  </si>
  <si>
    <t>divide by number of increments</t>
  </si>
  <si>
    <t>amp hours</t>
  </si>
  <si>
    <t>multiply by time in hours</t>
  </si>
  <si>
    <t>watt hours</t>
  </si>
  <si>
    <t>Voltage Dividers</t>
  </si>
  <si>
    <t>Solve for Vout</t>
  </si>
  <si>
    <t>Solve for R2</t>
  </si>
  <si>
    <t>Solve for R1</t>
  </si>
  <si>
    <t>Solve for Vin</t>
  </si>
  <si>
    <t>r1</t>
  </si>
  <si>
    <t>Vout</t>
  </si>
  <si>
    <t>R2</t>
  </si>
  <si>
    <t>r2</t>
  </si>
  <si>
    <t>Vin</t>
  </si>
  <si>
    <t>R1</t>
  </si>
  <si>
    <t>(A6/(A5+A6))*A7</t>
  </si>
  <si>
    <t>C7/(C6/C5 -1)</t>
  </si>
  <si>
    <t>((E5*E6)/E7)-E5</t>
  </si>
  <si>
    <t>Ratio</t>
  </si>
  <si>
    <t>nominal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</si>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</sst>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4" sqref="E14"/>
    </sheetView>
  </sheetViews>
  <sheetFormatPr defaultColWidth="11.5703125" defaultRowHeight="12.75"/>
  <sheetData>
    <row r="1" spans="1:7">
      <c r="A1">
        <v>7000000</v>
      </c>
      <c r="B1" t="s">
        <v>0</v>
      </c>
      <c r="D1">
        <f>A1/3600000</f>
        <v>1.9444444444444444</v>
      </c>
      <c r="E1" t="s">
        <v>1</v>
      </c>
    </row>
    <row r="2" spans="1:7">
      <c r="A2">
        <f>A1/1000</f>
        <v>7000</v>
      </c>
      <c r="B2" t="s">
        <v>2</v>
      </c>
    </row>
    <row r="3" spans="1:7">
      <c r="A3">
        <f>A2/60</f>
        <v>116.66666666666667</v>
      </c>
      <c r="B3" t="s">
        <v>3</v>
      </c>
      <c r="D3">
        <v>12.89</v>
      </c>
      <c r="E3" t="s">
        <v>4</v>
      </c>
    </row>
    <row r="4" spans="1:7">
      <c r="A4">
        <f>A3/60</f>
        <v>1.9444444444444444</v>
      </c>
      <c r="B4" t="s">
        <v>1</v>
      </c>
    </row>
    <row r="7" spans="1:7">
      <c r="A7">
        <v>0.30000000000000004</v>
      </c>
    </row>
    <row r="8" spans="1:7">
      <c r="A8">
        <v>0.30000000000000004</v>
      </c>
    </row>
    <row r="9" spans="1:7">
      <c r="A9">
        <v>0.4</v>
      </c>
    </row>
    <row r="10" spans="1:7">
      <c r="A10">
        <v>0.5</v>
      </c>
    </row>
    <row r="11" spans="1:7">
      <c r="A11">
        <v>0.2</v>
      </c>
    </row>
    <row r="13" spans="1:7">
      <c r="A13">
        <f>SUM(A7:A12)</f>
        <v>1.7</v>
      </c>
      <c r="B13" t="s">
        <v>5</v>
      </c>
    </row>
    <row r="14" spans="1:7">
      <c r="A14">
        <f>A13/5</f>
        <v>0.33999999999999997</v>
      </c>
      <c r="B14" t="s">
        <v>6</v>
      </c>
      <c r="E14">
        <f>(A14*A2)/3600</f>
        <v>0.66111111111111109</v>
      </c>
      <c r="F14" t="s">
        <v>7</v>
      </c>
      <c r="G14">
        <f>12/60</f>
        <v>0.2</v>
      </c>
    </row>
    <row r="15" spans="1:7">
      <c r="A15">
        <f>A14*A4</f>
        <v>0.66111111111111109</v>
      </c>
      <c r="B15" t="s">
        <v>8</v>
      </c>
      <c r="E15">
        <f>E14*D3</f>
        <v>8.5217222222222215</v>
      </c>
      <c r="F15" t="s">
        <v>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A10" workbookViewId="0">
      <selection activeCell="L17" sqref="L17"/>
    </sheetView>
  </sheetViews>
  <sheetFormatPr defaultColWidth="11.5703125" defaultRowHeight="12.75"/>
  <sheetData>
    <row r="1" spans="1:9">
      <c r="A1" t="s">
        <v>10</v>
      </c>
    </row>
    <row r="2" spans="1:9" ht="18.75">
      <c r="E2" s="1"/>
    </row>
    <row r="4" spans="1:9">
      <c r="A4" t="s">
        <v>11</v>
      </c>
      <c r="C4" t="s">
        <v>12</v>
      </c>
      <c r="E4" t="s">
        <v>13</v>
      </c>
      <c r="G4" t="s">
        <v>14</v>
      </c>
    </row>
    <row r="5" spans="1:9">
      <c r="A5">
        <v>12</v>
      </c>
      <c r="B5" t="s">
        <v>15</v>
      </c>
      <c r="C5">
        <v>5</v>
      </c>
      <c r="D5" t="s">
        <v>16</v>
      </c>
      <c r="E5">
        <v>5</v>
      </c>
      <c r="F5" t="s">
        <v>17</v>
      </c>
    </row>
    <row r="6" spans="1:9">
      <c r="A6">
        <v>5</v>
      </c>
      <c r="B6" t="s">
        <v>18</v>
      </c>
      <c r="C6">
        <v>68</v>
      </c>
      <c r="D6" t="s">
        <v>19</v>
      </c>
      <c r="E6">
        <v>68</v>
      </c>
      <c r="F6" t="s">
        <v>19</v>
      </c>
    </row>
    <row r="7" spans="1:9">
      <c r="A7">
        <v>17</v>
      </c>
      <c r="B7" t="s">
        <v>19</v>
      </c>
      <c r="C7">
        <v>12</v>
      </c>
      <c r="D7" t="s">
        <v>20</v>
      </c>
      <c r="E7">
        <v>5</v>
      </c>
      <c r="F7" t="s">
        <v>16</v>
      </c>
    </row>
    <row r="8" spans="1:9">
      <c r="A8">
        <f>(A6/(A5+A6))*A7</f>
        <v>5</v>
      </c>
      <c r="B8" t="s">
        <v>16</v>
      </c>
      <c r="C8">
        <f>C7/(C6/C5-1)</f>
        <v>0.95238095238095244</v>
      </c>
      <c r="D8" t="s">
        <v>17</v>
      </c>
      <c r="E8">
        <f>((E5*E6)/E7)-E5</f>
        <v>63</v>
      </c>
      <c r="F8" t="s">
        <v>20</v>
      </c>
    </row>
    <row r="9" spans="1:9">
      <c r="B9" t="s">
        <v>21</v>
      </c>
      <c r="D9" t="s">
        <v>22</v>
      </c>
      <c r="F9" t="s">
        <v>23</v>
      </c>
    </row>
    <row r="11" spans="1:9">
      <c r="C11">
        <f>C7/C8</f>
        <v>12.6</v>
      </c>
      <c r="D11" t="s">
        <v>24</v>
      </c>
      <c r="E11">
        <f>E8/E5</f>
        <v>12.6</v>
      </c>
      <c r="F11" t="s">
        <v>24</v>
      </c>
    </row>
    <row r="13" spans="1:9">
      <c r="E13" t="s">
        <v>25</v>
      </c>
      <c r="F13" t="s">
        <v>26</v>
      </c>
      <c r="G13" t="s">
        <v>20</v>
      </c>
      <c r="H13" t="s">
        <v>17</v>
      </c>
      <c r="I13" t="s">
        <v>24</v>
      </c>
    </row>
    <row r="14" spans="1:9">
      <c r="E14">
        <v>12</v>
      </c>
      <c r="F14">
        <v>17</v>
      </c>
      <c r="G14">
        <v>12</v>
      </c>
      <c r="H14">
        <v>5</v>
      </c>
      <c r="I14">
        <f>G14/H14</f>
        <v>2.4</v>
      </c>
    </row>
    <row r="15" spans="1:9">
      <c r="E15">
        <v>24</v>
      </c>
      <c r="F15">
        <v>34</v>
      </c>
      <c r="G15">
        <v>29</v>
      </c>
      <c r="H15">
        <v>5</v>
      </c>
      <c r="I15">
        <f>G15/H15</f>
        <v>5.8</v>
      </c>
    </row>
    <row r="16" spans="1:9">
      <c r="E16">
        <v>36</v>
      </c>
      <c r="F16">
        <v>51</v>
      </c>
      <c r="G16">
        <v>46</v>
      </c>
      <c r="H16">
        <v>5</v>
      </c>
      <c r="I16">
        <f>G16/H16</f>
        <v>9.1999999999999993</v>
      </c>
    </row>
    <row r="17" spans="5:9">
      <c r="E17">
        <v>48</v>
      </c>
      <c r="F17">
        <v>68</v>
      </c>
      <c r="G17">
        <v>63</v>
      </c>
      <c r="H17">
        <v>5</v>
      </c>
      <c r="I17">
        <f>G17/H17</f>
        <v>12.6</v>
      </c>
    </row>
    <row r="20" spans="5:9">
      <c r="E20" t="s">
        <v>25</v>
      </c>
      <c r="F20" t="s">
        <v>26</v>
      </c>
      <c r="G20" t="s">
        <v>20</v>
      </c>
      <c r="H20" t="s">
        <v>17</v>
      </c>
      <c r="I20" t="s">
        <v>24</v>
      </c>
    </row>
    <row r="21" spans="5:9">
      <c r="E21">
        <v>12</v>
      </c>
      <c r="F21">
        <v>17</v>
      </c>
      <c r="G21">
        <v>12</v>
      </c>
      <c r="H21">
        <v>5</v>
      </c>
      <c r="I21" s="2">
        <f>G21/H21</f>
        <v>2.4</v>
      </c>
    </row>
    <row r="22" spans="5:9">
      <c r="E22">
        <v>24</v>
      </c>
      <c r="F22">
        <v>34</v>
      </c>
      <c r="G22">
        <v>12</v>
      </c>
      <c r="H22">
        <v>2</v>
      </c>
      <c r="I22" s="2">
        <f>G22/H22</f>
        <v>6</v>
      </c>
    </row>
    <row r="23" spans="5:9">
      <c r="E23">
        <v>36</v>
      </c>
      <c r="F23">
        <v>51</v>
      </c>
      <c r="G23">
        <v>12</v>
      </c>
      <c r="H23">
        <v>1.3</v>
      </c>
      <c r="I23" s="2">
        <f>G23/H23</f>
        <v>9.2307692307692299</v>
      </c>
    </row>
    <row r="24" spans="5:9">
      <c r="E24">
        <v>48</v>
      </c>
      <c r="F24">
        <v>68</v>
      </c>
      <c r="G24">
        <v>12</v>
      </c>
      <c r="H24">
        <v>0.9</v>
      </c>
      <c r="I24" s="2">
        <f>G24/H24</f>
        <v>13.333333333333332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Michailidis</cp:lastModifiedBy>
  <cp:revision/>
  <dcterms:created xsi:type="dcterms:W3CDTF">2021-05-25T21:58:02Z</dcterms:created>
  <dcterms:modified xsi:type="dcterms:W3CDTF">2021-05-25T21:58:49Z</dcterms:modified>
  <cp:category/>
  <cp:contentStatus/>
</cp:coreProperties>
</file>